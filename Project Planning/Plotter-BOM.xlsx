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lotting\Github\CNC-Plotter\Project Planning\"/>
    </mc:Choice>
  </mc:AlternateContent>
  <xr:revisionPtr revIDLastSave="0" documentId="13_ncr:1_{2C06610A-28C7-4D25-974A-5EB21AEA4D3E}" xr6:coauthVersionLast="47" xr6:coauthVersionMax="47" xr10:uidLastSave="{00000000-0000-0000-0000-000000000000}"/>
  <bookViews>
    <workbookView xWindow="5835" yWindow="2070" windowWidth="21600" windowHeight="11295" xr2:uid="{EBA329A8-BC4F-4D43-8656-7391979E98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17" i="1"/>
  <c r="D19" i="1"/>
  <c r="D18" i="1"/>
  <c r="D16" i="1"/>
  <c r="D15" i="1"/>
  <c r="D14" i="1"/>
  <c r="D13" i="1"/>
  <c r="D12" i="1"/>
  <c r="D11" i="1"/>
  <c r="D10" i="1"/>
  <c r="D9" i="1"/>
  <c r="D8" i="1"/>
  <c r="D7" i="1"/>
  <c r="D6" i="1"/>
  <c r="D5" i="1"/>
  <c r="D2" i="1"/>
  <c r="D3" i="1"/>
  <c r="D4" i="1"/>
</calcChain>
</file>

<file path=xl/sharedStrings.xml><?xml version="1.0" encoding="utf-8"?>
<sst xmlns="http://schemas.openxmlformats.org/spreadsheetml/2006/main" count="31" uniqueCount="30">
  <si>
    <t>Item</t>
  </si>
  <si>
    <t>Quantity</t>
  </si>
  <si>
    <t>Cost Per Item</t>
  </si>
  <si>
    <t>Total Cost</t>
  </si>
  <si>
    <t>Link</t>
  </si>
  <si>
    <t>2020 Extruded Aluminum (2250 mm total length)</t>
  </si>
  <si>
    <t>2020 Corner Bracket</t>
  </si>
  <si>
    <t>2040 Extruded Aluminum (700mm)</t>
  </si>
  <si>
    <t>GT2 Belt 9mm (1500mm)</t>
  </si>
  <si>
    <t>M5 Block T Nut</t>
  </si>
  <si>
    <t>GT2 9mm Pulley 20T</t>
  </si>
  <si>
    <t>GT2 9mm Toothed Idler</t>
  </si>
  <si>
    <t>MGN12H Linear Rail (700mm)</t>
  </si>
  <si>
    <t>MGN12H Linear Rail (530mm)</t>
  </si>
  <si>
    <t>MGN7C Linear Rail (50mm)</t>
  </si>
  <si>
    <t>mg90s Micro Servo</t>
  </si>
  <si>
    <t>17HS15-1504S-X1</t>
  </si>
  <si>
    <t>17HS24-2104S</t>
  </si>
  <si>
    <t>Arduino Uno</t>
  </si>
  <si>
    <t>DRV8825</t>
  </si>
  <si>
    <t>CNC Shield V3</t>
  </si>
  <si>
    <t>Mean Well LRS-150-24</t>
  </si>
  <si>
    <t>https://8020.net/20-2040.html</t>
  </si>
  <si>
    <t>https://8020.net/20-2020.html</t>
  </si>
  <si>
    <t xml:space="preserve">MDF Board </t>
  </si>
  <si>
    <t>https://limobearing.com/mgn12c-mgn12h-mini-linear-sliding-rail</t>
  </si>
  <si>
    <t>https://limobearing.com/mgn7h-mgn7c-miniature-linear-ball-rail</t>
  </si>
  <si>
    <t>https://www.omc-stepperonline.com/nema-17-bipolar-45ncm-63-74oz-in-1-5a-42x42x39mm-4-wires-w-1m-pin-connector-17hs15-1504s-x1</t>
  </si>
  <si>
    <t>https://www.omc-stepperonline.com/nema-17-bipolar-1-8deg-65ncm-92oz-in-2-1a-3-36v-42x42x60mm-4-wires-17hs24-2104s</t>
  </si>
  <si>
    <t>https://www.omc-stepperonline.com/lrs-150-24-mean-well-150w-24vdc-6-5a-115-230vac-enclosed-switching-power-supply-lrs-150-24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</si>
</sst>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5AFC2A-95CA-42C6-BDE3-6D82C10D080B}" name="Table1" displayName="Table1" ref="A1:E19" totalsRowShown="0">
  <autoFilter ref="A1:E19" xr:uid="{2B5AFC2A-95CA-42C6-BDE3-6D82C10D080B}"/>
  <tableColumns count="5">
    <tableColumn id="1" xr3:uid="{AE1966D0-3DF5-4ABC-8CCB-6FB1050990C9}" name="Item"/>
    <tableColumn id="2" xr3:uid="{4891D177-A691-41D8-85A7-67D5A91E985E}" name="Quantity"/>
    <tableColumn id="3" xr3:uid="{145078FC-E4B5-493B-A80C-BBD9896591EA}" name="Cost Per Item"/>
    <tableColumn id="4" xr3:uid="{3F4D7094-C635-4D3E-B206-DD38DAE82AEE}" name="Total Cost" dataDxfId="0">
      <calculatedColumnFormula>Table1[[#This Row],[Quantity]]*Table1[[#This Row],[Cost Per Item]]</calculatedColumnFormula>
    </tableColumn>
    <tableColumn id="5" xr3:uid="{CF7A5A9C-3371-4393-BA72-EDB716D08C5C}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omc-stepperonline.com/lrs-150-24-mean-well-150w-24vdc-6-5a-115-230vac-enclosed-switching-power-supply-lrs-150-24" TargetMode="External"/><Relationship Id="rId1" Type="http://schemas.openxmlformats.org/officeDocument/2006/relationships/hyperlink" Target="https://limobearing.com/mgn7h-mgn7c-miniature-linear-ball-r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59454-B297-4D28-AF0B-F4923CFCDEBE}">
  <dimension ref="A1:E22"/>
  <sheetViews>
    <sheetView tabSelected="1" topLeftCell="A2" workbookViewId="0">
      <selection activeCell="G3" sqref="G3"/>
    </sheetView>
  </sheetViews>
  <sheetFormatPr defaultColWidth="20.7109375" defaultRowHeight="15" x14ac:dyDescent="0.25"/>
  <cols>
    <col min="1" max="1" width="43.1406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</v>
      </c>
      <c r="C2">
        <v>38.479999999999997</v>
      </c>
      <c r="D2">
        <f>Table1[[#This Row],[Quantity]]*Table1[[#This Row],[Cost Per Item]]</f>
        <v>38.479999999999997</v>
      </c>
      <c r="E2" t="s">
        <v>23</v>
      </c>
    </row>
    <row r="3" spans="1:5" x14ac:dyDescent="0.25">
      <c r="A3" t="s">
        <v>7</v>
      </c>
      <c r="B3">
        <v>2</v>
      </c>
      <c r="C3">
        <v>17.14</v>
      </c>
      <c r="D3">
        <f>Table1[[#This Row],[Quantity]]*Table1[[#This Row],[Cost Per Item]]</f>
        <v>34.28</v>
      </c>
      <c r="E3" t="s">
        <v>22</v>
      </c>
    </row>
    <row r="4" spans="1:5" x14ac:dyDescent="0.25">
      <c r="A4" t="s">
        <v>9</v>
      </c>
      <c r="B4">
        <v>100</v>
      </c>
      <c r="D4">
        <f>Table1[[#This Row],[Quantity]]*Table1[[#This Row],[Cost Per Item]]</f>
        <v>0</v>
      </c>
    </row>
    <row r="5" spans="1:5" x14ac:dyDescent="0.25">
      <c r="A5" t="s">
        <v>6</v>
      </c>
      <c r="B5">
        <v>8</v>
      </c>
      <c r="D5">
        <f>Table1[[#This Row],[Quantity]]*Table1[[#This Row],[Cost Per Item]]</f>
        <v>0</v>
      </c>
    </row>
    <row r="6" spans="1:5" x14ac:dyDescent="0.25">
      <c r="A6" t="s">
        <v>8</v>
      </c>
      <c r="B6">
        <v>2</v>
      </c>
      <c r="D6">
        <f>Table1[[#This Row],[Quantity]]*Table1[[#This Row],[Cost Per Item]]</f>
        <v>0</v>
      </c>
    </row>
    <row r="7" spans="1:5" x14ac:dyDescent="0.25">
      <c r="A7" t="s">
        <v>10</v>
      </c>
      <c r="B7">
        <v>2</v>
      </c>
      <c r="D7">
        <f>Table1[[#This Row],[Quantity]]*Table1[[#This Row],[Cost Per Item]]</f>
        <v>0</v>
      </c>
    </row>
    <row r="8" spans="1:5" x14ac:dyDescent="0.25">
      <c r="A8" t="s">
        <v>11</v>
      </c>
      <c r="B8">
        <v>4</v>
      </c>
      <c r="D8">
        <f>Table1[[#This Row],[Quantity]]*Table1[[#This Row],[Cost Per Item]]</f>
        <v>0</v>
      </c>
    </row>
    <row r="9" spans="1:5" x14ac:dyDescent="0.25">
      <c r="A9" t="s">
        <v>12</v>
      </c>
      <c r="B9">
        <v>2</v>
      </c>
      <c r="C9">
        <v>19.149999999999999</v>
      </c>
      <c r="D9">
        <f>Table1[[#This Row],[Quantity]]*Table1[[#This Row],[Cost Per Item]]</f>
        <v>38.299999999999997</v>
      </c>
      <c r="E9" t="s">
        <v>25</v>
      </c>
    </row>
    <row r="10" spans="1:5" x14ac:dyDescent="0.25">
      <c r="A10" t="s">
        <v>13</v>
      </c>
      <c r="B10">
        <v>1</v>
      </c>
      <c r="C10">
        <v>16.27</v>
      </c>
      <c r="D10">
        <f>Table1[[#This Row],[Quantity]]*Table1[[#This Row],[Cost Per Item]]</f>
        <v>16.27</v>
      </c>
      <c r="E10" t="s">
        <v>25</v>
      </c>
    </row>
    <row r="11" spans="1:5" x14ac:dyDescent="0.25">
      <c r="A11" t="s">
        <v>14</v>
      </c>
      <c r="B11">
        <v>1</v>
      </c>
      <c r="C11">
        <v>6.81</v>
      </c>
      <c r="D11">
        <f>Table1[[#This Row],[Quantity]]*Table1[[#This Row],[Cost Per Item]]</f>
        <v>6.81</v>
      </c>
      <c r="E11" s="1" t="s">
        <v>26</v>
      </c>
    </row>
    <row r="12" spans="1:5" x14ac:dyDescent="0.25">
      <c r="A12" t="s">
        <v>15</v>
      </c>
      <c r="B12">
        <v>1</v>
      </c>
      <c r="D12">
        <f>Table1[[#This Row],[Quantity]]*Table1[[#This Row],[Cost Per Item]]</f>
        <v>0</v>
      </c>
    </row>
    <row r="13" spans="1:5" x14ac:dyDescent="0.25">
      <c r="A13" t="s">
        <v>24</v>
      </c>
      <c r="B13">
        <v>1</v>
      </c>
      <c r="D13">
        <f>Table1[[#This Row],[Quantity]]*Table1[[#This Row],[Cost Per Item]]</f>
        <v>0</v>
      </c>
    </row>
    <row r="14" spans="1:5" x14ac:dyDescent="0.25">
      <c r="A14" t="s">
        <v>16</v>
      </c>
      <c r="B14">
        <v>1</v>
      </c>
      <c r="C14">
        <v>9.1300000000000008</v>
      </c>
      <c r="D14">
        <f>Table1[[#This Row],[Quantity]]*Table1[[#This Row],[Cost Per Item]]</f>
        <v>9.1300000000000008</v>
      </c>
      <c r="E14" t="s">
        <v>27</v>
      </c>
    </row>
    <row r="15" spans="1:5" x14ac:dyDescent="0.25">
      <c r="A15" t="s">
        <v>17</v>
      </c>
      <c r="B15">
        <v>1</v>
      </c>
      <c r="C15">
        <v>13.24</v>
      </c>
      <c r="D15">
        <f>Table1[[#This Row],[Quantity]]*Table1[[#This Row],[Cost Per Item]]</f>
        <v>13.24</v>
      </c>
      <c r="E15" t="s">
        <v>28</v>
      </c>
    </row>
    <row r="16" spans="1:5" x14ac:dyDescent="0.25">
      <c r="A16" t="s">
        <v>18</v>
      </c>
      <c r="B16">
        <v>1</v>
      </c>
      <c r="D16">
        <f>Table1[[#This Row],[Quantity]]*Table1[[#This Row],[Cost Per Item]]</f>
        <v>0</v>
      </c>
    </row>
    <row r="17" spans="1:5" x14ac:dyDescent="0.25">
      <c r="A17" t="s">
        <v>19</v>
      </c>
      <c r="B17">
        <v>2</v>
      </c>
      <c r="D17">
        <f>Table1[[#This Row],[Quantity]]*Table1[[#This Row],[Cost Per Item]]</f>
        <v>0</v>
      </c>
    </row>
    <row r="18" spans="1:5" x14ac:dyDescent="0.25">
      <c r="A18" t="s">
        <v>20</v>
      </c>
      <c r="B18">
        <v>1</v>
      </c>
      <c r="D18">
        <f>Table1[[#This Row],[Quantity]]*Table1[[#This Row],[Cost Per Item]]</f>
        <v>0</v>
      </c>
    </row>
    <row r="19" spans="1:5" x14ac:dyDescent="0.25">
      <c r="A19" t="s">
        <v>21</v>
      </c>
      <c r="B19">
        <v>1</v>
      </c>
      <c r="C19">
        <v>11.48</v>
      </c>
      <c r="D19">
        <f>Table1[[#This Row],[Quantity]]*Table1[[#This Row],[Cost Per Item]]</f>
        <v>11.48</v>
      </c>
      <c r="E19" s="1" t="s">
        <v>29</v>
      </c>
    </row>
    <row r="22" spans="1:5" x14ac:dyDescent="0.25">
      <c r="D22">
        <f>SUM(Table1[Total Cost])</f>
        <v>167.98999999999998</v>
      </c>
    </row>
  </sheetData>
  <hyperlinks>
    <hyperlink ref="E11" r:id="rId1" xr:uid="{B2B85C19-172F-4C53-BFE1-1AC1A6ED2E62}"/>
    <hyperlink ref="E19" r:id="rId2" xr:uid="{3BECA83F-6E6D-470F-8302-A85F95BDB81D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Leddy, Jack</dc:creator>
  <cp:lastModifiedBy>Leddy, Jack</cp:lastModifiedBy>
  <dcterms:created xsi:type="dcterms:W3CDTF">2026-01-18T20:14:04Z</dcterms:created>
  <dcterms:modified xsi:type="dcterms:W3CDTF">2026-01-31T02:20:10Z</dcterms:modified>
</cp:coreProperties>
</file>